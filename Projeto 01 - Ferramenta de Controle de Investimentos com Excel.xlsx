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854fd1ddbfbd47fb/Área de Trabalho/Excel com Inteligência Artificial/Projetos/"/>
    </mc:Choice>
  </mc:AlternateContent>
  <xr:revisionPtr revIDLastSave="700" documentId="11_F25DC773A252ABDACC10483B399854E25ADE58EC" xr6:coauthVersionLast="47" xr6:coauthVersionMax="47" xr10:uidLastSave="{EA504CA8-49C3-4896-A151-CFE5A9CAEB1E}"/>
  <bookViews>
    <workbookView xWindow="-120" yWindow="-120" windowWidth="29040" windowHeight="16440" tabRatio="1" xr2:uid="{00000000-000D-0000-FFFF-FFFF00000000}"/>
  </bookViews>
  <sheets>
    <sheet name="APP" sheetId="1" r:id="rId1"/>
    <sheet name="TABELA DE APOIO" sheetId="2" r:id="rId2"/>
  </sheets>
  <definedNames>
    <definedName name="Aporte">APP!$D$10</definedName>
    <definedName name="Quantidade_Anos">APP!$D$11</definedName>
    <definedName name="Rendimento_Carteira">APP!$C$6</definedName>
    <definedName name="salario">APP!$C$5</definedName>
    <definedName name="sugestao_investimento">APP!$B$7</definedName>
    <definedName name="Taxa_Mensal">APP!$D$12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C28" i="1"/>
  <c r="D28" i="1" s="1"/>
  <c r="C29" i="1"/>
  <c r="D29" i="1" s="1"/>
  <c r="C30" i="1"/>
  <c r="D30" i="1" s="1"/>
  <c r="C31" i="1"/>
  <c r="D31" i="1" s="1"/>
  <c r="C32" i="1"/>
  <c r="D32" i="1" s="1"/>
  <c r="C27" i="1"/>
  <c r="D27" i="1" s="1"/>
  <c r="A15" i="2"/>
  <c r="A16" i="2"/>
  <c r="A17" i="2"/>
  <c r="A18" i="2"/>
  <c r="A19" i="2"/>
  <c r="A14" i="2"/>
  <c r="A9" i="2"/>
  <c r="A10" i="2"/>
  <c r="A11" i="2"/>
  <c r="A12" i="2"/>
  <c r="A13" i="2"/>
  <c r="A8" i="2"/>
  <c r="A3" i="2"/>
  <c r="A4" i="2"/>
  <c r="A5" i="2"/>
  <c r="A6" i="2"/>
  <c r="A7" i="2"/>
  <c r="A2" i="2"/>
  <c r="D13" i="1"/>
  <c r="D14" i="1" s="1"/>
  <c r="C18" i="1"/>
  <c r="D18" i="1" s="1"/>
  <c r="C19" i="1"/>
  <c r="D19" i="1" s="1"/>
  <c r="C20" i="1"/>
  <c r="D20" i="1" s="1"/>
  <c r="C21" i="1"/>
  <c r="D21" i="1" s="1"/>
  <c r="C17" i="1"/>
  <c r="D17" i="1" s="1"/>
  <c r="D33" i="1" l="1"/>
</calcChain>
</file>

<file path=xl/sharedStrings.xml><?xml version="1.0" encoding="utf-8"?>
<sst xmlns="http://schemas.openxmlformats.org/spreadsheetml/2006/main" count="70" uniqueCount="35">
  <si>
    <t>Quantos investir por mês?</t>
  </si>
  <si>
    <t>Por Quantos Anos?</t>
  </si>
  <si>
    <t>Taxa de Rendimento Mensal?</t>
  </si>
  <si>
    <t>Patrimônio Acumulado?</t>
  </si>
  <si>
    <t>Dividendos Mensais?</t>
  </si>
  <si>
    <t>INVESTIMENTO MENSAL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</si>
  <si>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</si>
  <si>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</si>
  <si>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</si>
  <si>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</si>
  <si>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</si>
  <si>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</si>
  <si>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</t>
  </si>
  <si>
    <t>CONFIGURAÇÕES</t>
  </si>
  <si>
    <t>Rendimento Carteira</t>
  </si>
  <si>
    <t>Salário</t>
  </si>
  <si>
    <t>Perfil</t>
  </si>
  <si>
    <t>AGRESSIVO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</si>
  <si>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</si>
  <si>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</si>
  <si>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</si>
  <si>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</si>
  <si>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</si>
  <si>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</si>
  <si>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</si>
  <si>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</si>
  <si>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</si>
  <si>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</si>
  <si>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TOTAL</t>
  </si>
  <si>
    <t>MODERADO</t>
  </si>
  <si>
    <t>CONSERVADOR</t>
  </si>
  <si>
    <t>PERFIL</t>
  </si>
  <si>
    <t>PERCENTUAL</t>
  </si>
  <si>
    <t>CHAVE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</si>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</sst>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5" tint="0.59999389629810485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theme="4" tint="-0.499984740745262"/>
      <name val="Calibri"/>
      <family val="2"/>
      <scheme val="minor"/>
    </font>
    <font>
      <b/>
      <sz val="20"/>
      <color theme="4" tint="-0.499984740745262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5" tint="0.59999389629810485"/>
      <name val="Calibri"/>
      <family val="2"/>
      <scheme val="minor"/>
    </font>
    <font>
      <b/>
      <sz val="11"/>
      <color theme="5" tint="0.59999389629810485"/>
      <name val="Calibri"/>
      <family val="2"/>
      <scheme val="minor"/>
    </font>
    <font>
      <b/>
      <sz val="11"/>
      <color rgb="FF9C57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</fills>
  <borders count="34">
    <border>
      <left/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/>
      <top style="medium">
        <color theme="1"/>
      </top>
      <bottom/>
      <diagonal/>
    </border>
    <border>
      <left style="thin">
        <color theme="0" tint="-0.1499984740745262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medium">
        <color theme="1"/>
      </left>
      <right style="medium">
        <color theme="0" tint="-0.14996795556505021"/>
      </right>
      <top style="medium">
        <color theme="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1"/>
      </right>
      <top style="medium">
        <color theme="1"/>
      </top>
      <bottom style="medium">
        <color theme="0" tint="-0.14996795556505021"/>
      </bottom>
      <diagonal/>
    </border>
    <border>
      <left style="medium">
        <color theme="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1"/>
      </left>
      <right style="medium">
        <color theme="0" tint="-0.14996795556505021"/>
      </right>
      <top style="medium">
        <color theme="0" tint="-0.14996795556505021"/>
      </top>
      <bottom style="medium">
        <color theme="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1"/>
      </bottom>
      <diagonal/>
    </border>
    <border>
      <left style="medium">
        <color theme="0" tint="-0.14996795556505021"/>
      </left>
      <right style="medium">
        <color theme="1"/>
      </right>
      <top style="medium">
        <color theme="0" tint="-0.14996795556505021"/>
      </top>
      <bottom style="medium">
        <color theme="1"/>
      </bottom>
      <diagonal/>
    </border>
    <border>
      <left style="medium">
        <color theme="0" tint="-0.14996795556505021"/>
      </left>
      <right style="medium">
        <color theme="1"/>
      </right>
      <top/>
      <bottom style="medium">
        <color theme="0" tint="-0.14996795556505021"/>
      </bottom>
      <diagonal/>
    </border>
    <border>
      <left/>
      <right style="thin">
        <color theme="0" tint="-0.14999847407452621"/>
      </right>
      <top/>
      <bottom style="medium">
        <color theme="1"/>
      </bottom>
      <diagonal/>
    </border>
    <border>
      <left style="medium">
        <color theme="0" tint="-0.14996795556505021"/>
      </left>
      <right style="medium">
        <color theme="0" tint="-0.14996795556505021"/>
      </right>
      <top/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/>
      <diagonal/>
    </border>
    <border>
      <left style="medium">
        <color theme="1"/>
      </left>
      <right style="medium">
        <color theme="0" tint="-0.14996795556505021"/>
      </right>
      <top/>
      <bottom style="medium">
        <color theme="0" tint="-0.14996795556505021"/>
      </bottom>
      <diagonal/>
    </border>
    <border>
      <left style="medium">
        <color theme="1"/>
      </left>
      <right style="medium">
        <color theme="0" tint="-0.14996795556505021"/>
      </right>
      <top style="medium">
        <color theme="0" tint="-0.14996795556505021"/>
      </top>
      <bottom/>
      <diagonal/>
    </border>
    <border>
      <left style="medium">
        <color theme="0" tint="-0.14996795556505021"/>
      </left>
      <right style="medium">
        <color theme="1"/>
      </right>
      <top style="medium">
        <color theme="0" tint="-0.1499679555650502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0" fillId="6" borderId="0" applyNumberFormat="0" applyBorder="0" applyAlignment="0" applyProtection="0"/>
  </cellStyleXfs>
  <cellXfs count="74">
    <xf numFmtId="0" fontId="0" fillId="0" borderId="0" xfId="0"/>
    <xf numFmtId="0" fontId="3" fillId="0" borderId="0" xfId="0" applyFont="1"/>
    <xf numFmtId="0" fontId="5" fillId="2" borderId="2" xfId="0" applyFont="1" applyFill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44" fontId="0" fillId="0" borderId="0" xfId="1" applyFont="1"/>
    <xf numFmtId="0" fontId="5" fillId="2" borderId="5" xfId="0" applyFont="1" applyFill="1" applyBorder="1" applyAlignment="1">
      <alignment vertical="center"/>
    </xf>
    <xf numFmtId="0" fontId="5" fillId="2" borderId="7" xfId="0" applyFont="1" applyFill="1" applyBorder="1" applyAlignment="1">
      <alignment vertical="center"/>
    </xf>
    <xf numFmtId="0" fontId="5" fillId="2" borderId="8" xfId="0" applyFont="1" applyFill="1" applyBorder="1" applyAlignment="1">
      <alignment vertical="center"/>
    </xf>
    <xf numFmtId="0" fontId="0" fillId="2" borderId="3" xfId="0" applyFill="1" applyBorder="1"/>
    <xf numFmtId="0" fontId="2" fillId="0" borderId="23" xfId="0" applyFont="1" applyBorder="1"/>
    <xf numFmtId="0" fontId="2" fillId="0" borderId="13" xfId="0" applyFont="1" applyBorder="1"/>
    <xf numFmtId="0" fontId="2" fillId="0" borderId="16" xfId="0" applyFont="1" applyBorder="1"/>
    <xf numFmtId="44" fontId="7" fillId="4" borderId="19" xfId="1" applyFont="1" applyFill="1" applyBorder="1" applyAlignment="1">
      <alignment horizontal="right" vertical="center" indent="4"/>
    </xf>
    <xf numFmtId="0" fontId="7" fillId="4" borderId="15" xfId="0" applyFont="1" applyFill="1" applyBorder="1" applyAlignment="1">
      <alignment horizontal="right" vertical="center" wrapText="1"/>
    </xf>
    <xf numFmtId="10" fontId="7" fillId="4" borderId="15" xfId="0" applyNumberFormat="1" applyFont="1" applyFill="1" applyBorder="1" applyAlignment="1">
      <alignment horizontal="right" vertical="center" wrapText="1"/>
    </xf>
    <xf numFmtId="8" fontId="7" fillId="3" borderId="25" xfId="0" applyNumberFormat="1" applyFont="1" applyFill="1" applyBorder="1" applyAlignment="1">
      <alignment horizontal="right" vertical="center"/>
    </xf>
    <xf numFmtId="8" fontId="7" fillId="3" borderId="6" xfId="0" applyNumberFormat="1" applyFont="1" applyFill="1" applyBorder="1" applyAlignment="1">
      <alignment horizontal="right"/>
    </xf>
    <xf numFmtId="0" fontId="2" fillId="0" borderId="0" xfId="0" applyFont="1"/>
    <xf numFmtId="0" fontId="6" fillId="4" borderId="13" xfId="0" applyFont="1" applyFill="1" applyBorder="1" applyAlignment="1">
      <alignment horizontal="left" wrapText="1"/>
    </xf>
    <xf numFmtId="0" fontId="6" fillId="4" borderId="14" xfId="0" applyFont="1" applyFill="1" applyBorder="1" applyAlignment="1">
      <alignment horizontal="left" wrapText="1"/>
    </xf>
    <xf numFmtId="0" fontId="8" fillId="3" borderId="24" xfId="0" applyFont="1" applyFill="1" applyBorder="1" applyAlignment="1">
      <alignment horizontal="left"/>
    </xf>
    <xf numFmtId="0" fontId="8" fillId="3" borderId="22" xfId="0" applyFont="1" applyFill="1" applyBorder="1" applyAlignment="1">
      <alignment horizontal="left"/>
    </xf>
    <xf numFmtId="0" fontId="8" fillId="3" borderId="9" xfId="0" applyFont="1" applyFill="1" applyBorder="1" applyAlignment="1">
      <alignment horizontal="left"/>
    </xf>
    <xf numFmtId="0" fontId="8" fillId="3" borderId="20" xfId="0" applyFont="1" applyFill="1" applyBorder="1" applyAlignment="1">
      <alignment horizontal="left"/>
    </xf>
    <xf numFmtId="0" fontId="6" fillId="4" borderId="23" xfId="0" applyFont="1" applyFill="1" applyBorder="1" applyAlignment="1">
      <alignment horizontal="left" wrapText="1"/>
    </xf>
    <xf numFmtId="0" fontId="6" fillId="4" borderId="21" xfId="0" applyFont="1" applyFill="1" applyBorder="1" applyAlignment="1">
      <alignment horizontal="left" wrapText="1"/>
    </xf>
    <xf numFmtId="0" fontId="4" fillId="2" borderId="0" xfId="0" applyFont="1" applyFill="1" applyAlignment="1">
      <alignment horizontal="center"/>
    </xf>
    <xf numFmtId="0" fontId="9" fillId="5" borderId="2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44" fontId="2" fillId="0" borderId="21" xfId="1" applyFont="1" applyBorder="1" applyAlignment="1">
      <alignment horizontal="left" vertical="center" indent="38"/>
    </xf>
    <xf numFmtId="44" fontId="2" fillId="0" borderId="19" xfId="1" applyFont="1" applyBorder="1" applyAlignment="1">
      <alignment horizontal="left" vertical="center" indent="38"/>
    </xf>
    <xf numFmtId="10" fontId="2" fillId="0" borderId="14" xfId="0" applyNumberFormat="1" applyFont="1" applyBorder="1" applyAlignment="1">
      <alignment horizontal="right"/>
    </xf>
    <xf numFmtId="10" fontId="2" fillId="0" borderId="15" xfId="0" applyNumberFormat="1" applyFont="1" applyBorder="1" applyAlignment="1">
      <alignment horizontal="right"/>
    </xf>
    <xf numFmtId="44" fontId="2" fillId="0" borderId="17" xfId="1" applyFont="1" applyBorder="1" applyAlignment="1">
      <alignment horizontal="left" vertical="center" indent="38"/>
    </xf>
    <xf numFmtId="44" fontId="2" fillId="0" borderId="18" xfId="1" applyFont="1" applyBorder="1" applyAlignment="1">
      <alignment horizontal="left" vertical="center" indent="38"/>
    </xf>
    <xf numFmtId="0" fontId="6" fillId="7" borderId="10" xfId="0" applyFont="1" applyFill="1" applyBorder="1" applyAlignment="1">
      <alignment wrapText="1"/>
    </xf>
    <xf numFmtId="44" fontId="6" fillId="7" borderId="11" xfId="1" applyFont="1" applyFill="1" applyBorder="1" applyAlignment="1">
      <alignment horizontal="left" wrapText="1" indent="15"/>
    </xf>
    <xf numFmtId="44" fontId="6" fillId="7" borderId="12" xfId="1" applyFont="1" applyFill="1" applyBorder="1" applyAlignment="1">
      <alignment horizontal="left" wrapText="1" indent="4"/>
    </xf>
    <xf numFmtId="0" fontId="6" fillId="7" borderId="13" xfId="0" applyFont="1" applyFill="1" applyBorder="1" applyAlignment="1">
      <alignment wrapText="1"/>
    </xf>
    <xf numFmtId="44" fontId="6" fillId="7" borderId="14" xfId="1" applyFont="1" applyFill="1" applyBorder="1" applyAlignment="1">
      <alignment horizontal="left" wrapText="1" indent="15"/>
    </xf>
    <xf numFmtId="44" fontId="6" fillId="7" borderId="15" xfId="1" applyFont="1" applyFill="1" applyBorder="1" applyAlignment="1">
      <alignment horizontal="left" wrapText="1" indent="4"/>
    </xf>
    <xf numFmtId="0" fontId="6" fillId="7" borderId="16" xfId="0" applyFont="1" applyFill="1" applyBorder="1" applyAlignment="1">
      <alignment wrapText="1"/>
    </xf>
    <xf numFmtId="44" fontId="6" fillId="7" borderId="17" xfId="1" applyFont="1" applyFill="1" applyBorder="1" applyAlignment="1">
      <alignment horizontal="left" wrapText="1" indent="15"/>
    </xf>
    <xf numFmtId="44" fontId="6" fillId="7" borderId="18" xfId="1" applyFont="1" applyFill="1" applyBorder="1" applyAlignment="1">
      <alignment horizontal="left" wrapText="1" indent="4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12" fillId="2" borderId="26" xfId="0" applyFont="1" applyFill="1" applyBorder="1" applyAlignment="1">
      <alignment horizontal="center"/>
    </xf>
    <xf numFmtId="0" fontId="12" fillId="2" borderId="27" xfId="0" applyFont="1" applyFill="1" applyBorder="1" applyAlignment="1">
      <alignment horizontal="center"/>
    </xf>
    <xf numFmtId="0" fontId="12" fillId="2" borderId="28" xfId="0" applyFont="1" applyFill="1" applyBorder="1" applyAlignment="1">
      <alignment horizontal="center"/>
    </xf>
    <xf numFmtId="0" fontId="0" fillId="0" borderId="29" xfId="0" applyBorder="1" applyAlignment="1">
      <alignment horizontal="center"/>
    </xf>
    <xf numFmtId="9" fontId="0" fillId="0" borderId="0" xfId="0" applyNumberFormat="1" applyBorder="1" applyAlignment="1">
      <alignment horizontal="center"/>
    </xf>
    <xf numFmtId="0" fontId="0" fillId="0" borderId="32" xfId="0" applyBorder="1"/>
    <xf numFmtId="9" fontId="0" fillId="0" borderId="32" xfId="0" applyNumberFormat="1" applyBorder="1" applyAlignment="1">
      <alignment horizontal="center"/>
    </xf>
    <xf numFmtId="44" fontId="0" fillId="0" borderId="30" xfId="0" applyNumberFormat="1" applyBorder="1" applyAlignment="1">
      <alignment horizontal="center"/>
    </xf>
    <xf numFmtId="0" fontId="12" fillId="2" borderId="31" xfId="0" applyFont="1" applyFill="1" applyBorder="1" applyAlignment="1">
      <alignment horizontal="center"/>
    </xf>
    <xf numFmtId="0" fontId="11" fillId="2" borderId="32" xfId="0" applyFont="1" applyFill="1" applyBorder="1"/>
    <xf numFmtId="44" fontId="12" fillId="2" borderId="33" xfId="0" applyNumberFormat="1" applyFont="1" applyFill="1" applyBorder="1"/>
    <xf numFmtId="0" fontId="10" fillId="6" borderId="28" xfId="2" applyBorder="1" applyAlignment="1">
      <alignment wrapText="1"/>
    </xf>
    <xf numFmtId="0" fontId="2" fillId="3" borderId="31" xfId="0" applyFont="1" applyFill="1" applyBorder="1"/>
    <xf numFmtId="44" fontId="2" fillId="3" borderId="32" xfId="1" applyFont="1" applyFill="1" applyBorder="1" applyAlignment="1">
      <alignment horizontal="left" indent="23"/>
    </xf>
    <xf numFmtId="0" fontId="0" fillId="3" borderId="33" xfId="0" applyFill="1" applyBorder="1"/>
    <xf numFmtId="0" fontId="13" fillId="6" borderId="26" xfId="2" applyFont="1" applyBorder="1" applyAlignment="1">
      <alignment horizontal="center" wrapText="1"/>
    </xf>
    <xf numFmtId="0" fontId="13" fillId="6" borderId="27" xfId="2" applyFont="1" applyBorder="1" applyAlignment="1">
      <alignment horizontal="right"/>
    </xf>
    <xf numFmtId="0" fontId="0" fillId="0" borderId="0" xfId="0" applyBorder="1" applyAlignment="1">
      <alignment horizontal="center" vertical="center"/>
    </xf>
    <xf numFmtId="9" fontId="0" fillId="0" borderId="0" xfId="0" applyNumberForma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0" fontId="0" fillId="0" borderId="0" xfId="0" applyFill="1" applyBorder="1"/>
    <xf numFmtId="0" fontId="0" fillId="0" borderId="32" xfId="0" applyFill="1" applyBorder="1"/>
    <xf numFmtId="0" fontId="2" fillId="0" borderId="0" xfId="0" applyFont="1" applyAlignment="1">
      <alignment horizontal="center" vertical="center"/>
    </xf>
  </cellXfs>
  <cellStyles count="3">
    <cellStyle name="Moeda" xfId="1" builtinId="4"/>
    <cellStyle name="Neutro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2000" b="1">
                <a:solidFill>
                  <a:schemeClr val="tx1"/>
                </a:solidFill>
              </a:rPr>
              <a:t>Gráfico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7404162157455436"/>
          <c:y val="0.28261057959254138"/>
          <c:w val="0.82595837842544562"/>
          <c:h val="0.42231503387838581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APP!$C$26</c:f>
              <c:strCache>
                <c:ptCount val="1"/>
                <c:pt idx="0">
                  <c:v>PERCENTUAL SUGERIDO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APP!$B$27:$B$33</c:f>
              <c:strCache>
                <c:ptCount val="7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  <c:pt idx="6">
                  <c:v>TOTAL</c:v>
                </c:pt>
              </c:strCache>
            </c:strRef>
          </c:cat>
          <c:val>
            <c:numRef>
              <c:f>APP!$C$27:$C$33</c:f>
              <c:numCache>
                <c:formatCode>0%</c:formatCode>
                <c:ptCount val="7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5E-4F7E-B618-35C177193A8C}"/>
            </c:ext>
          </c:extLst>
        </c:ser>
        <c:ser>
          <c:idx val="1"/>
          <c:order val="1"/>
          <c:tx>
            <c:strRef>
              <c:f>APP!$D$26</c:f>
              <c:strCache>
                <c:ptCount val="1"/>
                <c:pt idx="0">
                  <c:v>VALORES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APP!$B$27:$B$33</c:f>
              <c:strCache>
                <c:ptCount val="7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  <c:pt idx="6">
                  <c:v>TOTAL</c:v>
                </c:pt>
              </c:strCache>
            </c:strRef>
          </c:cat>
          <c:val>
            <c:numRef>
              <c:f>APP!$D$27:$D$33</c:f>
              <c:numCache>
                <c:formatCode>_("R$"* #,##0.00_);_("R$"* \(#,##0.00\);_("R$"* "-"??_);_(@_)</c:formatCode>
                <c:ptCount val="7"/>
                <c:pt idx="0">
                  <c:v>100</c:v>
                </c:pt>
                <c:pt idx="1">
                  <c:v>20</c:v>
                </c:pt>
                <c:pt idx="2">
                  <c:v>10</c:v>
                </c:pt>
                <c:pt idx="3">
                  <c:v>10</c:v>
                </c:pt>
                <c:pt idx="4">
                  <c:v>40</c:v>
                </c:pt>
                <c:pt idx="5">
                  <c:v>20</c:v>
                </c:pt>
                <c:pt idx="6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5E-4F7E-B618-35C177193A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8296735"/>
        <c:axId val="715236527"/>
        <c:axId val="0"/>
      </c:bar3DChart>
      <c:catAx>
        <c:axId val="178296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15236527"/>
        <c:crosses val="autoZero"/>
        <c:auto val="1"/>
        <c:lblAlgn val="ctr"/>
        <c:lblOffset val="100"/>
        <c:noMultiLvlLbl val="0"/>
      </c:catAx>
      <c:valAx>
        <c:axId val="71523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8296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76200</xdr:rowOff>
    </xdr:from>
    <xdr:to>
      <xdr:col>20</xdr:col>
      <xdr:colOff>95250</xdr:colOff>
      <xdr:row>0</xdr:row>
      <xdr:rowOff>942975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C4E5D5C9-80A0-9EAE-B834-90D8E33BA058}"/>
            </a:ext>
          </a:extLst>
        </xdr:cNvPr>
        <xdr:cNvSpPr txBox="1"/>
      </xdr:nvSpPr>
      <xdr:spPr>
        <a:xfrm>
          <a:off x="95250" y="76200"/>
          <a:ext cx="17916525" cy="86677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4" algn="l"/>
          <a:r>
            <a:rPr lang="pt-BR" sz="6600">
              <a:solidFill>
                <a:schemeClr val="accent1">
                  <a:lumMod val="50000"/>
                </a:schemeClr>
              </a:solidFill>
              <a:latin typeface="Bradley Hand ITC" panose="03070402050302030203" pitchFamily="66" charset="0"/>
            </a:rPr>
            <a:t>FII</a:t>
          </a:r>
          <a:r>
            <a:rPr lang="pt-BR" sz="6600" baseline="0">
              <a:solidFill>
                <a:schemeClr val="accent1">
                  <a:lumMod val="50000"/>
                </a:schemeClr>
              </a:solidFill>
              <a:latin typeface="Bradley Hand ITC" panose="03070402050302030203" pitchFamily="66" charset="0"/>
            </a:rPr>
            <a:t> </a:t>
          </a:r>
          <a:r>
            <a:rPr lang="pt-BR" sz="6600" b="1" baseline="0">
              <a:solidFill>
                <a:schemeClr val="accent1">
                  <a:lumMod val="50000"/>
                </a:schemeClr>
              </a:solidFill>
              <a:latin typeface="Bradley Hand ITC" panose="03070402050302030203" pitchFamily="66" charset="0"/>
            </a:rPr>
            <a:t>INVESTIMENTO IMOBILIÁRIO</a:t>
          </a:r>
        </a:p>
        <a:p>
          <a:pPr lvl="4" algn="l"/>
          <a:endParaRPr lang="pt-BR" sz="6600" b="1">
            <a:solidFill>
              <a:schemeClr val="accent1">
                <a:lumMod val="50000"/>
              </a:schemeClr>
            </a:solidFill>
            <a:latin typeface="Bradley Hand ITC" panose="03070402050302030203" pitchFamily="66" charset="0"/>
          </a:endParaRPr>
        </a:p>
      </xdr:txBody>
    </xdr:sp>
    <xdr:clientData/>
  </xdr:twoCellAnchor>
  <xdr:twoCellAnchor>
    <xdr:from>
      <xdr:col>0</xdr:col>
      <xdr:colOff>552450</xdr:colOff>
      <xdr:row>0</xdr:row>
      <xdr:rowOff>76200</xdr:rowOff>
    </xdr:from>
    <xdr:to>
      <xdr:col>1</xdr:col>
      <xdr:colOff>952500</xdr:colOff>
      <xdr:row>0</xdr:row>
      <xdr:rowOff>933450</xdr:rowOff>
    </xdr:to>
    <xdr:sp macro="" textlink="">
      <xdr:nvSpPr>
        <xdr:cNvPr id="4" name="Estrela: 5 Pontas 3">
          <a:extLst>
            <a:ext uri="{FF2B5EF4-FFF2-40B4-BE49-F238E27FC236}">
              <a16:creationId xmlns:a16="http://schemas.microsoft.com/office/drawing/2014/main" id="{FE9D0785-B54C-741D-B64E-12C318BB11B5}"/>
            </a:ext>
          </a:extLst>
        </xdr:cNvPr>
        <xdr:cNvSpPr/>
      </xdr:nvSpPr>
      <xdr:spPr>
        <a:xfrm>
          <a:off x="552450" y="76200"/>
          <a:ext cx="1009650" cy="857250"/>
        </a:xfrm>
        <a:prstGeom prst="star5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247648</xdr:colOff>
      <xdr:row>15</xdr:row>
      <xdr:rowOff>242886</xdr:rowOff>
    </xdr:from>
    <xdr:to>
      <xdr:col>11</xdr:col>
      <xdr:colOff>495299</xdr:colOff>
      <xdr:row>33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CF58628-DA2A-164B-BDBE-26502EB179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3"/>
  <sheetViews>
    <sheetView showGridLines="0" showRowColHeaders="0" tabSelected="1" workbookViewId="0">
      <pane ySplit="1" topLeftCell="A2" activePane="bottomLeft" state="frozen"/>
      <selection pane="bottomLeft" activeCell="S20" sqref="S20"/>
    </sheetView>
  </sheetViews>
  <sheetFormatPr defaultColWidth="0" defaultRowHeight="15" x14ac:dyDescent="0.25"/>
  <cols>
    <col min="1" max="1" width="9.140625" customWidth="1"/>
    <col min="2" max="2" width="31.140625" bestFit="1" customWidth="1"/>
    <col min="3" max="3" width="42.42578125" customWidth="1"/>
    <col min="4" max="4" width="20.5703125" customWidth="1"/>
    <col min="5" max="5" width="4" customWidth="1"/>
    <col min="6" max="6" width="24.42578125" bestFit="1" customWidth="1"/>
    <col min="7" max="7" width="13.28515625" bestFit="1" customWidth="1"/>
    <col min="8" max="22" width="9.140625" customWidth="1"/>
    <col min="23" max="16384" width="9.140625" hidden="1"/>
  </cols>
  <sheetData>
    <row r="1" spans="1:22" ht="79.5" customHeight="1" x14ac:dyDescent="0.35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</row>
    <row r="2" spans="1:22" ht="15.75" thickBot="1" x14ac:dyDescent="0.3"/>
    <row r="3" spans="1:22" ht="17.25" customHeight="1" x14ac:dyDescent="0.25">
      <c r="B3" s="27" t="s">
        <v>13</v>
      </c>
      <c r="C3" s="28"/>
      <c r="D3" s="29"/>
    </row>
    <row r="4" spans="1:22" ht="15" customHeight="1" x14ac:dyDescent="0.25">
      <c r="B4" s="30"/>
      <c r="C4" s="31"/>
      <c r="D4" s="32"/>
    </row>
    <row r="5" spans="1:22" ht="15.75" thickBot="1" x14ac:dyDescent="0.3">
      <c r="B5" s="9" t="s">
        <v>15</v>
      </c>
      <c r="C5" s="33">
        <v>2000</v>
      </c>
      <c r="D5" s="34"/>
    </row>
    <row r="6" spans="1:22" ht="15.75" thickBot="1" x14ac:dyDescent="0.3">
      <c r="B6" s="10" t="s">
        <v>14</v>
      </c>
      <c r="C6" s="35">
        <v>6.0000000000000001E-3</v>
      </c>
      <c r="D6" s="36"/>
    </row>
    <row r="7" spans="1:22" ht="15.75" thickBot="1" x14ac:dyDescent="0.3">
      <c r="B7" s="11" t="s">
        <v>34</v>
      </c>
      <c r="C7" s="37">
        <f>salario*30%</f>
        <v>600</v>
      </c>
      <c r="D7" s="38"/>
    </row>
    <row r="8" spans="1:22" ht="15.75" thickBot="1" x14ac:dyDescent="0.3"/>
    <row r="9" spans="1:22" ht="26.25" x14ac:dyDescent="0.25">
      <c r="B9" s="2" t="s">
        <v>5</v>
      </c>
      <c r="C9" s="5"/>
      <c r="D9" s="8"/>
    </row>
    <row r="10" spans="1:22" ht="18" thickBot="1" x14ac:dyDescent="0.35">
      <c r="A10" s="1">
        <v>2</v>
      </c>
      <c r="B10" s="24" t="s">
        <v>0</v>
      </c>
      <c r="C10" s="25"/>
      <c r="D10" s="12">
        <v>200</v>
      </c>
    </row>
    <row r="11" spans="1:22" ht="18" thickBot="1" x14ac:dyDescent="0.35">
      <c r="A11" s="1">
        <v>5</v>
      </c>
      <c r="B11" s="18" t="s">
        <v>1</v>
      </c>
      <c r="C11" s="19"/>
      <c r="D11" s="13">
        <v>5</v>
      </c>
    </row>
    <row r="12" spans="1:22" ht="18" thickBot="1" x14ac:dyDescent="0.35">
      <c r="A12" s="1">
        <v>10</v>
      </c>
      <c r="B12" s="18" t="s">
        <v>2</v>
      </c>
      <c r="C12" s="19"/>
      <c r="D12" s="14">
        <v>1.0789999999999999E-2</v>
      </c>
    </row>
    <row r="13" spans="1:22" ht="17.25" x14ac:dyDescent="0.3">
      <c r="A13" s="1">
        <v>20</v>
      </c>
      <c r="B13" s="20" t="s">
        <v>3</v>
      </c>
      <c r="C13" s="21"/>
      <c r="D13" s="15">
        <f>FV(Taxa_Mensal,Quantidade_Anos*12,Aporte*-1,)</f>
        <v>16755.382799697527</v>
      </c>
    </row>
    <row r="14" spans="1:22" ht="18" thickBot="1" x14ac:dyDescent="0.35">
      <c r="A14" s="1">
        <v>30</v>
      </c>
      <c r="B14" s="22" t="s">
        <v>4</v>
      </c>
      <c r="C14" s="23"/>
      <c r="D14" s="16">
        <f>D13*$C$6</f>
        <v>100.53229679818516</v>
      </c>
    </row>
    <row r="15" spans="1:22" ht="15.75" thickBot="1" x14ac:dyDescent="0.3"/>
    <row r="16" spans="1:22" ht="27" thickBot="1" x14ac:dyDescent="0.3">
      <c r="B16" s="6" t="s">
        <v>11</v>
      </c>
      <c r="C16" s="7"/>
      <c r="D16" s="3" t="s">
        <v>12</v>
      </c>
      <c r="H16" s="4"/>
    </row>
    <row r="17" spans="2:4" ht="18" thickBot="1" x14ac:dyDescent="0.35">
      <c r="B17" s="39" t="s">
        <v>6</v>
      </c>
      <c r="C17" s="40">
        <f>FV($D$12,$A10*12,$D$10*-1)</f>
        <v>5445.5254595290435</v>
      </c>
      <c r="D17" s="41">
        <f>C17*Rendimento_Carteira</f>
        <v>32.673152757174265</v>
      </c>
    </row>
    <row r="18" spans="2:4" ht="18" thickBot="1" x14ac:dyDescent="0.35">
      <c r="B18" s="42" t="s">
        <v>7</v>
      </c>
      <c r="C18" s="43">
        <f>FV($D$12,$A11*12,$D$10*-1)</f>
        <v>16755.382799697527</v>
      </c>
      <c r="D18" s="44">
        <f>C18*Rendimento_Carteira</f>
        <v>100.53229679818516</v>
      </c>
    </row>
    <row r="19" spans="2:4" ht="18" thickBot="1" x14ac:dyDescent="0.35">
      <c r="B19" s="42" t="s">
        <v>8</v>
      </c>
      <c r="C19" s="43">
        <f>FV($D$12,$A12*12,$D$10*-1)</f>
        <v>48656.842506034438</v>
      </c>
      <c r="D19" s="44">
        <f>C19*Rendimento_Carteira</f>
        <v>291.94105503620665</v>
      </c>
    </row>
    <row r="20" spans="2:4" ht="18" thickBot="1" x14ac:dyDescent="0.35">
      <c r="B20" s="42" t="s">
        <v>9</v>
      </c>
      <c r="C20" s="43">
        <f>FV($D$12,$A13*12,$D$10*-1)</f>
        <v>225039.68001941612</v>
      </c>
      <c r="D20" s="44">
        <f>C20*Rendimento_Carteira</f>
        <v>1350.2380801164968</v>
      </c>
    </row>
    <row r="21" spans="2:4" ht="18" thickBot="1" x14ac:dyDescent="0.35">
      <c r="B21" s="45" t="s">
        <v>10</v>
      </c>
      <c r="C21" s="46">
        <f>FV($D$12,$A14*12,$D$10*-1)</f>
        <v>864433.93100094295</v>
      </c>
      <c r="D21" s="47">
        <f>C21*Rendimento_Carteira</f>
        <v>5186.6035860056581</v>
      </c>
    </row>
    <row r="22" spans="2:4" ht="15.75" thickBot="1" x14ac:dyDescent="0.3"/>
    <row r="23" spans="2:4" x14ac:dyDescent="0.25">
      <c r="B23" s="65" t="s">
        <v>16</v>
      </c>
      <c r="C23" s="66" t="s">
        <v>17</v>
      </c>
      <c r="D23" s="61"/>
    </row>
    <row r="24" spans="2:4" ht="15.75" thickBot="1" x14ac:dyDescent="0.3">
      <c r="B24" s="62" t="s">
        <v>18</v>
      </c>
      <c r="C24" s="63">
        <v>200</v>
      </c>
      <c r="D24" s="64"/>
    </row>
    <row r="25" spans="2:4" ht="15.75" thickBot="1" x14ac:dyDescent="0.3">
      <c r="C25" s="4"/>
    </row>
    <row r="26" spans="2:4" x14ac:dyDescent="0.25">
      <c r="B26" s="50" t="s">
        <v>19</v>
      </c>
      <c r="C26" s="51" t="s">
        <v>20</v>
      </c>
      <c r="D26" s="52" t="s">
        <v>21</v>
      </c>
    </row>
    <row r="27" spans="2:4" x14ac:dyDescent="0.25">
      <c r="B27" s="53" t="s">
        <v>22</v>
      </c>
      <c r="C27" s="54">
        <f>VLOOKUP($C$23&amp;"-"&amp;B27,'TABELA DE APOIO'!$A:$D,4,FALSE)</f>
        <v>0.5</v>
      </c>
      <c r="D27" s="57">
        <f>C27*$C$24</f>
        <v>100</v>
      </c>
    </row>
    <row r="28" spans="2:4" x14ac:dyDescent="0.25">
      <c r="B28" s="53" t="s">
        <v>23</v>
      </c>
      <c r="C28" s="54">
        <f>VLOOKUP($C$23&amp;"-"&amp;B28,'TABELA DE APOIO'!$A:$D,4,FALSE)</f>
        <v>0.1</v>
      </c>
      <c r="D28" s="57">
        <f t="shared" ref="D28:D32" si="0">C28*$C$24</f>
        <v>20</v>
      </c>
    </row>
    <row r="29" spans="2:4" x14ac:dyDescent="0.25">
      <c r="B29" s="53" t="s">
        <v>24</v>
      </c>
      <c r="C29" s="54">
        <f>VLOOKUP($C$23&amp;"-"&amp;B29,'TABELA DE APOIO'!$A:$D,4,FALSE)</f>
        <v>0.05</v>
      </c>
      <c r="D29" s="57">
        <f t="shared" si="0"/>
        <v>10</v>
      </c>
    </row>
    <row r="30" spans="2:4" x14ac:dyDescent="0.25">
      <c r="B30" s="53" t="s">
        <v>25</v>
      </c>
      <c r="C30" s="54">
        <f>VLOOKUP($C$23&amp;"-"&amp;B30,'TABELA DE APOIO'!$A:$D,4,FALSE)</f>
        <v>0.05</v>
      </c>
      <c r="D30" s="57">
        <f t="shared" si="0"/>
        <v>10</v>
      </c>
    </row>
    <row r="31" spans="2:4" x14ac:dyDescent="0.25">
      <c r="B31" s="53" t="s">
        <v>26</v>
      </c>
      <c r="C31" s="54">
        <f>VLOOKUP($C$23&amp;"-"&amp;B31,'TABELA DE APOIO'!$A:$D,4,FALSE)</f>
        <v>0.2</v>
      </c>
      <c r="D31" s="57">
        <f t="shared" si="0"/>
        <v>40</v>
      </c>
    </row>
    <row r="32" spans="2:4" x14ac:dyDescent="0.25">
      <c r="B32" s="53" t="s">
        <v>27</v>
      </c>
      <c r="C32" s="54">
        <f>VLOOKUP($C$23&amp;"-"&amp;B32,'TABELA DE APOIO'!$A:$D,4,FALSE)</f>
        <v>0.1</v>
      </c>
      <c r="D32" s="57">
        <f t="shared" si="0"/>
        <v>20</v>
      </c>
    </row>
    <row r="33" spans="2:4" ht="15.75" thickBot="1" x14ac:dyDescent="0.3">
      <c r="B33" s="58" t="s">
        <v>28</v>
      </c>
      <c r="C33" s="59"/>
      <c r="D33" s="60">
        <f>SUM(D27:D32)</f>
        <v>200</v>
      </c>
    </row>
  </sheetData>
  <mergeCells count="10">
    <mergeCell ref="B12:C12"/>
    <mergeCell ref="B13:C13"/>
    <mergeCell ref="B14:C14"/>
    <mergeCell ref="B10:C10"/>
    <mergeCell ref="A1:V1"/>
    <mergeCell ref="B3:D4"/>
    <mergeCell ref="C5:D5"/>
    <mergeCell ref="C6:D6"/>
    <mergeCell ref="C7:D7"/>
    <mergeCell ref="B11:C11"/>
  </mergeCells>
  <dataValidations count="1">
    <dataValidation type="list" allowBlank="1" showInputMessage="1" showErrorMessage="1" sqref="C23" xr:uid="{1B7FB88B-8503-4FB5-ACC7-E767164F479B}">
      <formula1>"CONSERVADOR, MODERADO, AGRESSIVO"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5944C-D49A-48EE-8C8D-3E5C91797A3A}">
  <dimension ref="A1:D19"/>
  <sheetViews>
    <sheetView workbookViewId="0">
      <selection activeCell="G30" sqref="G30"/>
    </sheetView>
  </sheetViews>
  <sheetFormatPr defaultRowHeight="15" x14ac:dyDescent="0.25"/>
  <cols>
    <col min="1" max="1" width="33.85546875" bestFit="1" customWidth="1"/>
    <col min="2" max="2" width="14.7109375" bestFit="1" customWidth="1"/>
    <col min="3" max="3" width="19" bestFit="1" customWidth="1"/>
    <col min="4" max="4" width="12.28515625" style="48" bestFit="1" customWidth="1"/>
  </cols>
  <sheetData>
    <row r="1" spans="1:4" x14ac:dyDescent="0.25">
      <c r="A1" s="17" t="s">
        <v>33</v>
      </c>
      <c r="B1" s="73" t="s">
        <v>31</v>
      </c>
      <c r="C1" s="73" t="s">
        <v>19</v>
      </c>
      <c r="D1" s="73" t="s">
        <v>32</v>
      </c>
    </row>
    <row r="2" spans="1:4" x14ac:dyDescent="0.25">
      <c r="A2" t="str">
        <f>$B$2&amp;"-"&amp;C2</f>
        <v>CONSERVADOR-PAPEL</v>
      </c>
      <c r="B2" s="67" t="s">
        <v>30</v>
      </c>
      <c r="C2" s="67" t="s">
        <v>22</v>
      </c>
      <c r="D2" s="68">
        <v>0.3</v>
      </c>
    </row>
    <row r="3" spans="1:4" x14ac:dyDescent="0.25">
      <c r="A3" t="str">
        <f t="shared" ref="A3:A19" si="0">$B$2&amp;"-"&amp;C3</f>
        <v>CONSERVADOR-TIJOLO</v>
      </c>
      <c r="B3" s="67" t="s">
        <v>30</v>
      </c>
      <c r="C3" s="67" t="s">
        <v>23</v>
      </c>
      <c r="D3" s="68">
        <v>0.5</v>
      </c>
    </row>
    <row r="4" spans="1:4" x14ac:dyDescent="0.25">
      <c r="A4" t="str">
        <f t="shared" si="0"/>
        <v>CONSERVADOR-HÍBRIDOS</v>
      </c>
      <c r="B4" s="67" t="s">
        <v>30</v>
      </c>
      <c r="C4" s="67" t="s">
        <v>24</v>
      </c>
      <c r="D4" s="68">
        <v>0.1</v>
      </c>
    </row>
    <row r="5" spans="1:4" x14ac:dyDescent="0.25">
      <c r="A5" t="str">
        <f t="shared" si="0"/>
        <v>CONSERVADOR-FOFs</v>
      </c>
      <c r="B5" s="67" t="s">
        <v>30</v>
      </c>
      <c r="C5" s="67" t="s">
        <v>25</v>
      </c>
      <c r="D5" s="68">
        <v>0.1</v>
      </c>
    </row>
    <row r="6" spans="1:4" x14ac:dyDescent="0.25">
      <c r="A6" t="str">
        <f t="shared" si="0"/>
        <v>CONSERVADOR-DESENVOLVIMENTO</v>
      </c>
      <c r="B6" s="67" t="s">
        <v>30</v>
      </c>
      <c r="C6" s="67" t="s">
        <v>26</v>
      </c>
      <c r="D6" s="68">
        <v>0</v>
      </c>
    </row>
    <row r="7" spans="1:4" ht="15.75" thickBot="1" x14ac:dyDescent="0.3">
      <c r="A7" s="55" t="str">
        <f t="shared" si="0"/>
        <v>CONSERVADOR-HOTELARIAS</v>
      </c>
      <c r="B7" s="69" t="s">
        <v>30</v>
      </c>
      <c r="C7" s="69" t="s">
        <v>27</v>
      </c>
      <c r="D7" s="70">
        <v>0</v>
      </c>
    </row>
    <row r="8" spans="1:4" x14ac:dyDescent="0.25">
      <c r="A8" s="71" t="str">
        <f>$B$8&amp;"-"&amp;C8</f>
        <v>MODERADO-PAPEL</v>
      </c>
      <c r="B8" t="s">
        <v>29</v>
      </c>
      <c r="C8" s="67" t="s">
        <v>22</v>
      </c>
      <c r="D8" s="49">
        <v>0.32</v>
      </c>
    </row>
    <row r="9" spans="1:4" x14ac:dyDescent="0.25">
      <c r="A9" s="71" t="str">
        <f t="shared" ref="A9:A13" si="1">$B$8&amp;"-"&amp;C9</f>
        <v>MODERADO-TIJOLO</v>
      </c>
      <c r="B9" t="s">
        <v>29</v>
      </c>
      <c r="C9" s="67" t="s">
        <v>23</v>
      </c>
      <c r="D9" s="49">
        <v>0.4</v>
      </c>
    </row>
    <row r="10" spans="1:4" x14ac:dyDescent="0.25">
      <c r="A10" s="71" t="str">
        <f t="shared" si="1"/>
        <v>MODERADO-HÍBRIDOS</v>
      </c>
      <c r="B10" t="s">
        <v>29</v>
      </c>
      <c r="C10" s="67" t="s">
        <v>24</v>
      </c>
      <c r="D10" s="49">
        <v>0.08</v>
      </c>
    </row>
    <row r="11" spans="1:4" x14ac:dyDescent="0.25">
      <c r="A11" s="71" t="str">
        <f t="shared" si="1"/>
        <v>MODERADO-FOFs</v>
      </c>
      <c r="B11" t="s">
        <v>29</v>
      </c>
      <c r="C11" s="67" t="s">
        <v>25</v>
      </c>
      <c r="D11" s="49">
        <v>0.1</v>
      </c>
    </row>
    <row r="12" spans="1:4" x14ac:dyDescent="0.25">
      <c r="A12" s="71" t="str">
        <f t="shared" si="1"/>
        <v>MODERADO-DESENVOLVIMENTO</v>
      </c>
      <c r="B12" t="s">
        <v>29</v>
      </c>
      <c r="C12" s="67" t="s">
        <v>26</v>
      </c>
      <c r="D12" s="49">
        <v>0.1</v>
      </c>
    </row>
    <row r="13" spans="1:4" ht="15.75" thickBot="1" x14ac:dyDescent="0.3">
      <c r="A13" s="72" t="str">
        <f t="shared" si="1"/>
        <v>MODERADO-HOTELARIAS</v>
      </c>
      <c r="B13" s="55" t="s">
        <v>29</v>
      </c>
      <c r="C13" s="69" t="s">
        <v>27</v>
      </c>
      <c r="D13" s="56">
        <v>0</v>
      </c>
    </row>
    <row r="14" spans="1:4" x14ac:dyDescent="0.25">
      <c r="A14" s="71" t="str">
        <f>$B$14&amp;"-"&amp;C14</f>
        <v>AGRESSIVO-PAPEL</v>
      </c>
      <c r="B14" t="s">
        <v>17</v>
      </c>
      <c r="C14" s="67" t="s">
        <v>22</v>
      </c>
      <c r="D14" s="49">
        <v>0.5</v>
      </c>
    </row>
    <row r="15" spans="1:4" x14ac:dyDescent="0.25">
      <c r="A15" s="71" t="str">
        <f t="shared" ref="A15:A19" si="2">$B$14&amp;"-"&amp;C15</f>
        <v>AGRESSIVO-TIJOLO</v>
      </c>
      <c r="B15" t="s">
        <v>17</v>
      </c>
      <c r="C15" s="67" t="s">
        <v>23</v>
      </c>
      <c r="D15" s="49">
        <v>0.1</v>
      </c>
    </row>
    <row r="16" spans="1:4" x14ac:dyDescent="0.25">
      <c r="A16" s="71" t="str">
        <f t="shared" si="2"/>
        <v>AGRESSIVO-HÍBRIDOS</v>
      </c>
      <c r="B16" t="s">
        <v>17</v>
      </c>
      <c r="C16" s="67" t="s">
        <v>24</v>
      </c>
      <c r="D16" s="49">
        <v>0.05</v>
      </c>
    </row>
    <row r="17" spans="1:4" x14ac:dyDescent="0.25">
      <c r="A17" s="71" t="str">
        <f t="shared" si="2"/>
        <v>AGRESSIVO-FOFs</v>
      </c>
      <c r="B17" t="s">
        <v>17</v>
      </c>
      <c r="C17" s="67" t="s">
        <v>25</v>
      </c>
      <c r="D17" s="49">
        <v>0.05</v>
      </c>
    </row>
    <row r="18" spans="1:4" x14ac:dyDescent="0.25">
      <c r="A18" s="71" t="str">
        <f t="shared" si="2"/>
        <v>AGRESSIVO-DESENVOLVIMENTO</v>
      </c>
      <c r="B18" t="s">
        <v>17</v>
      </c>
      <c r="C18" s="67" t="s">
        <v>26</v>
      </c>
      <c r="D18" s="49">
        <v>0.2</v>
      </c>
    </row>
    <row r="19" spans="1:4" ht="15.75" thickBot="1" x14ac:dyDescent="0.3">
      <c r="A19" s="72" t="str">
        <f t="shared" si="2"/>
        <v>AGRESSIVO-HOTELARIAS</v>
      </c>
      <c r="B19" s="55" t="s">
        <v>17</v>
      </c>
      <c r="C19" s="69" t="s">
        <v>27</v>
      </c>
      <c r="D19" s="56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6</vt:i4>
      </vt:variant>
    </vt:vector>
  </HeadingPairs>
  <TitlesOfParts>
    <vt:vector size="8" baseType="lpstr">
      <vt:lpstr>APP</vt:lpstr>
      <vt:lpstr>TABELA DE APOIO</vt:lpstr>
      <vt:lpstr>Aporte</vt:lpstr>
      <vt:lpstr>Quantidade_Anos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Alencar</dc:creator>
  <cp:lastModifiedBy>Douglas Alencar</cp:lastModifiedBy>
  <dcterms:created xsi:type="dcterms:W3CDTF">2015-06-05T18:17:20Z</dcterms:created>
  <dcterms:modified xsi:type="dcterms:W3CDTF">2026-05-23T18:56:44Z</dcterms:modified>
</cp:coreProperties>
</file>